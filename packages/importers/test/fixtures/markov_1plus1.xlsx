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4" customWidth="1" min="5" max="5"/>
    <col width="8" customWidth="1" min="6" max="6"/>
  </cols>
  <sheetData>
    <row r="1">
      <c r="A1" s="1" t="inlineStr">
        <is>
          <t>Head-node pair, 1+1 hot standby, 3-state Markov chain (synthetic parameters)</t>
        </is>
      </c>
    </row>
    <row r="3">
      <c r="A3" t="inlineStr">
        <is>
          <t>λ (/h) per node</t>
        </is>
      </c>
      <c r="B3" t="n">
        <v>2e-05</v>
      </c>
    </row>
    <row r="4">
      <c r="A4" t="inlineStr">
        <is>
          <t>MTTR (h)</t>
        </is>
      </c>
      <c r="B4" t="n">
        <v>4</v>
      </c>
    </row>
    <row r="5">
      <c r="A5" t="inlineStr">
        <is>
          <t>μ (/h) = 1/MTTR</t>
        </is>
      </c>
      <c r="B5">
        <f>1/B4</f>
        <v/>
      </c>
    </row>
    <row r="7">
      <c r="A7" s="2" t="inlineStr">
        <is>
          <t>Q (from \ to)</t>
        </is>
      </c>
      <c r="B7" s="3" t="inlineStr">
        <is>
          <t>2 up</t>
        </is>
      </c>
      <c r="C7" s="3" t="inlineStr">
        <is>
          <t>1 up</t>
        </is>
      </c>
      <c r="D7" s="3" t="inlineStr">
        <is>
          <t>0 up</t>
        </is>
      </c>
    </row>
    <row r="8">
      <c r="A8" s="2" t="inlineStr">
        <is>
          <t>2 up</t>
        </is>
      </c>
      <c r="B8">
        <f>-2*$B$3</f>
        <v/>
      </c>
      <c r="C8">
        <f>2*$B$3</f>
        <v/>
      </c>
      <c r="D8" t="n">
        <v>0</v>
      </c>
    </row>
    <row r="9">
      <c r="A9" s="2" t="inlineStr">
        <is>
          <t>1 up</t>
        </is>
      </c>
      <c r="B9">
        <f>$B$5</f>
        <v/>
      </c>
      <c r="C9">
        <f>-($B$3+$B$5)</f>
        <v/>
      </c>
      <c r="D9">
        <f>$B$3</f>
        <v/>
      </c>
    </row>
    <row r="10">
      <c r="A10" s="2" t="inlineStr">
        <is>
          <t>0 up</t>
        </is>
      </c>
      <c r="B10" t="n">
        <v>0</v>
      </c>
      <c r="C10">
        <f>$B$5</f>
        <v/>
      </c>
      <c r="D10">
        <f>-$B$5</f>
        <v/>
      </c>
    </row>
    <row r="12">
      <c r="A12" s="2" t="inlineStr">
        <is>
          <t>M = Qᵀ with the last row replaced by Σπ = 1</t>
        </is>
      </c>
      <c r="F12" s="3" t="inlineStr">
        <is>
          <t>b</t>
        </is>
      </c>
    </row>
    <row r="13">
      <c r="A13" t="inlineStr">
        <is>
          <t>balance equation 1</t>
        </is>
      </c>
      <c r="B13">
        <f>INDEX(TRANSPOSE($B$8:$D$10),1,1)</f>
        <v/>
      </c>
      <c r="C13">
        <f>INDEX(TRANSPOSE($B$8:$D$10),1,2)</f>
        <v/>
      </c>
      <c r="D13">
        <f>INDEX(TRANSPOSE($B$8:$D$10),1,3)</f>
        <v/>
      </c>
      <c r="F13" t="n">
        <v>0</v>
      </c>
    </row>
    <row r="14">
      <c r="A14" t="inlineStr">
        <is>
          <t>balance equation 2</t>
        </is>
      </c>
      <c r="B14">
        <f>INDEX(TRANSPOSE($B$8:$D$10),2,1)</f>
        <v/>
      </c>
      <c r="C14">
        <f>INDEX(TRANSPOSE($B$8:$D$10),2,2)</f>
        <v/>
      </c>
      <c r="D14">
        <f>INDEX(TRANSPOSE($B$8:$D$10),2,3)</f>
        <v/>
      </c>
      <c r="F14" t="n">
        <v>0</v>
      </c>
    </row>
    <row r="15">
      <c r="A15" t="inlineStr">
        <is>
          <t>Σπ = 1</t>
        </is>
      </c>
      <c r="B15" t="n">
        <v>1</v>
      </c>
      <c r="C15" t="n">
        <v>1</v>
      </c>
      <c r="D15" t="n">
        <v>1</v>
      </c>
      <c r="F15" t="n">
        <v>1</v>
      </c>
    </row>
    <row r="17">
      <c r="A17" s="2" t="inlineStr">
        <is>
          <t>Steady state π = M⁻¹ b</t>
        </is>
      </c>
    </row>
    <row r="18">
      <c r="A18" t="inlineStr">
        <is>
          <t>π(2 up)</t>
        </is>
      </c>
      <c r="B18">
        <f>INDEX(MMULT(MINVERSE($B$13:$D$15),$F$13:$F$15),1,1)</f>
        <v/>
      </c>
    </row>
    <row r="19">
      <c r="A19" t="inlineStr">
        <is>
          <t>π(1 up)</t>
        </is>
      </c>
      <c r="B19">
        <f>INDEX(MMULT(MINVERSE($B$13:$D$15),$F$13:$F$15),2,1)</f>
        <v/>
      </c>
    </row>
    <row r="20">
      <c r="A20" t="inlineStr">
        <is>
          <t>π(0 up)</t>
        </is>
      </c>
      <c r="B20">
        <f>INDEX(MMULT(MINVERSE($B$13:$D$15),$F$13:$F$15),3,1)</f>
        <v/>
      </c>
    </row>
    <row r="21">
      <c r="A21" t="inlineStr">
        <is>
          <t>check Σπ</t>
        </is>
      </c>
      <c r="B21">
        <f>SUM(B18:B20)</f>
        <v/>
      </c>
    </row>
    <row r="22">
      <c r="A22" s="2" t="inlineStr">
        <is>
          <t>Availability (≥ 1 up) = π(2 up) + π(1 up)</t>
        </is>
      </c>
      <c r="B22">
        <f>B18+B19</f>
        <v/>
      </c>
    </row>
    <row r="23">
      <c r="A23" t="inlineStr">
        <is>
          <t>Unavailability (0 up)</t>
        </is>
      </c>
      <c r="B23">
        <f>B20</f>
        <v/>
      </c>
    </row>
    <row r="25">
      <c r="A25" s="2" t="inlineStr">
        <is>
          <t>Cross-check: independent units (equivalent to two repair crews)</t>
        </is>
      </c>
    </row>
    <row r="26">
      <c r="A26" t="inlineStr">
        <is>
          <t>Unit availability 1/(1+λ·MTTR)</t>
        </is>
      </c>
      <c r="B26">
        <f>1/(1+B3*B4)</f>
        <v/>
      </c>
    </row>
    <row r="27">
      <c r="A27" t="inlineStr">
        <is>
          <t>1+1 parallel 1−(1−A)^2</t>
        </is>
      </c>
      <c r="B27">
        <f>1-(1-B26)^2</f>
        <v/>
      </c>
    </row>
    <row r="28">
      <c r="A28" t="inlineStr">
        <is>
          <t>Δ (parallel − Markov)</t>
        </is>
      </c>
      <c r="B28">
        <f>B27-B22</f>
        <v/>
      </c>
    </row>
    <row r="30">
      <c r="A30" s="2" t="inlineStr">
        <is>
          <t>Cold standby, no repair, mission time t (h) — reliability, not availability</t>
        </is>
      </c>
      <c r="B30" t="n">
        <v>8760</v>
      </c>
    </row>
    <row r="31">
      <c r="A31" t="inlineStr">
        <is>
          <t>R(t) = e^(−λt)·(1+λt)</t>
        </is>
      </c>
      <c r="B31">
        <f>EXP(-B3*B30)*(1+B3*B30)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HAC-D make_fixtures.py</dc:creator>
  <dcterms:created xsi:type="dcterms:W3CDTF">2026-10-09T00:00:00Z</dcterms:created>
  <dcterms:modified xsi:type="dcterms:W3CDTF">2026-10-09T00:00:00Z</dcterms:modified>
</cp:coreProperties>
</file>
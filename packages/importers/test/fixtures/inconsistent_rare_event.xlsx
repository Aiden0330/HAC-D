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10" customWidth="1" min="3" max="3"/>
    <col width="10" customWidth="1" min="4" max="4"/>
    <col width="12" customWidth="1" min="5" max="5"/>
    <col width="22" customWidth="1" min="6" max="6"/>
    <col width="20" customWidth="1" min="7" max="7"/>
  </cols>
  <sheetData>
    <row r="1">
      <c r="A1" s="1" t="inlineStr">
        <is>
          <t>Component</t>
        </is>
      </c>
      <c r="B1" s="1" t="inlineStr">
        <is>
          <t>Qty</t>
        </is>
      </c>
      <c r="C1" s="1" t="inlineStr">
        <is>
          <t>MTBF (h)</t>
        </is>
      </c>
      <c r="D1" s="1" t="inlineStr">
        <is>
          <t>MTTR (h)</t>
        </is>
      </c>
      <c r="E1" s="1" t="inlineStr">
        <is>
          <t>λ (/h)</t>
        </is>
      </c>
      <c r="F1" s="1" t="inlineStr">
        <is>
          <t>Unavailability (λ·MTTR)</t>
        </is>
      </c>
      <c r="G1" s="1" t="inlineStr">
        <is>
          <t>Availability (exact)</t>
        </is>
      </c>
    </row>
    <row r="2">
      <c r="A2" t="inlineStr">
        <is>
          <t>GPU node pool (degraded-mode threshold)</t>
        </is>
      </c>
      <c r="B2" t="n">
        <v>1</v>
      </c>
      <c r="C2" t="n">
        <v>2000</v>
      </c>
      <c r="D2" t="n">
        <v>48</v>
      </c>
      <c r="E2">
        <f>1/C2</f>
        <v/>
      </c>
      <c r="F2">
        <f>E2*D2</f>
        <v/>
      </c>
      <c r="G2">
        <f>C2/(C2+D2)</f>
        <v/>
      </c>
    </row>
    <row r="3">
      <c r="A3" t="inlineStr">
        <is>
          <t>Interconnect fabric</t>
        </is>
      </c>
      <c r="B3" t="n">
        <v>1</v>
      </c>
      <c r="C3" t="n">
        <v>4000</v>
      </c>
      <c r="D3" t="n">
        <v>72</v>
      </c>
      <c r="E3">
        <f>1/C3</f>
        <v/>
      </c>
      <c r="F3">
        <f>E3*D3</f>
        <v/>
      </c>
      <c r="G3">
        <f>C3/(C3+D3)</f>
        <v/>
      </c>
    </row>
    <row r="4">
      <c r="A4" t="inlineStr">
        <is>
          <t>Parallel file system</t>
        </is>
      </c>
      <c r="B4" t="n">
        <v>1</v>
      </c>
      <c r="C4" t="n">
        <v>3000</v>
      </c>
      <c r="D4" t="n">
        <v>96</v>
      </c>
      <c r="E4">
        <f>1/C4</f>
        <v/>
      </c>
      <c r="F4">
        <f>E4*D4</f>
        <v/>
      </c>
      <c r="G4">
        <f>C4/(C4+D4)</f>
        <v/>
      </c>
    </row>
    <row r="5">
      <c r="A5" t="inlineStr">
        <is>
          <t>Scheduler / control plane</t>
        </is>
      </c>
      <c r="B5" t="n">
        <v>1</v>
      </c>
      <c r="C5" t="n">
        <v>5000</v>
      </c>
      <c r="D5" t="n">
        <v>120</v>
      </c>
      <c r="E5">
        <f>1/C5</f>
        <v/>
      </c>
      <c r="F5">
        <f>E5*D5</f>
        <v/>
      </c>
      <c r="G5">
        <f>C5/(C5+D5)</f>
        <v/>
      </c>
    </row>
    <row r="6">
      <c r="A6" t="inlineStr">
        <is>
          <t>Facility (power + cooling)</t>
        </is>
      </c>
      <c r="B6" t="n">
        <v>1</v>
      </c>
      <c r="C6" t="n">
        <v>6000</v>
      </c>
      <c r="D6" t="n">
        <v>240</v>
      </c>
      <c r="E6">
        <f>1/C6</f>
        <v/>
      </c>
      <c r="F6">
        <f>E6*D6</f>
        <v/>
      </c>
      <c r="G6">
        <f>C6/(C6+D6)</f>
        <v/>
      </c>
    </row>
    <row r="8">
      <c r="A8" s="1" t="inlineStr">
        <is>
          <t>System availability (rare-event, 1 − ΣU)</t>
        </is>
      </c>
      <c r="F8">
        <f>SUM(F2:F6)</f>
        <v/>
      </c>
      <c r="G8">
        <f>1-SUM(F2:F6)</f>
        <v/>
      </c>
    </row>
    <row r="9">
      <c r="A9" s="1" t="inlineStr">
        <is>
          <t>Exact (ΠA)</t>
        </is>
      </c>
      <c r="F9">
        <f>1-G9</f>
        <v/>
      </c>
      <c r="G9">
        <f>PRODUCT(G2:G6)</f>
        <v/>
      </c>
    </row>
    <row r="10">
      <c r="A10" s="1" t="inlineStr">
        <is>
          <t>Difference (exact − rare-event)</t>
        </is>
      </c>
      <c r="G10">
        <f>G9-G8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
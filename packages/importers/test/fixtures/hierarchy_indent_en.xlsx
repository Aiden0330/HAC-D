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4"/>
  <sheetViews>
    <sheetView workbookViewId="0">
      <selection activeCell="A1" sqref="A1"/>
    </sheetView>
  </sheetViews>
  <sheetFormatPr baseColWidth="8" defaultRowHeight="15" outlineLevelRow="3"/>
  <cols>
    <col width="36" customWidth="1" min="1" max="1"/>
    <col width="6" customWidth="1" min="2" max="2"/>
    <col width="10" customWidth="1" min="3" max="3"/>
    <col width="9" customWidth="1" min="4" max="4"/>
    <col width="16" customWidth="1" min="5" max="5"/>
    <col width="16" customWidth="1" min="6" max="6"/>
    <col width="18" customWidth="1" min="7" max="7"/>
    <col width="40" customWidth="1" min="8" max="8"/>
  </cols>
  <sheetData>
    <row r="1">
      <c r="A1" s="1" t="inlineStr">
        <is>
          <t>Component</t>
        </is>
      </c>
      <c r="B1" s="1" t="inlineStr">
        <is>
          <t>Qty</t>
        </is>
      </c>
      <c r="C1" s="1" t="inlineStr">
        <is>
          <t>MTBF (h)</t>
        </is>
      </c>
      <c r="D1" s="1" t="inlineStr">
        <is>
          <t>MTTR (h)</t>
        </is>
      </c>
      <c r="E1" s="1" t="inlineStr">
        <is>
          <t>Availability</t>
        </is>
      </c>
      <c r="F1" s="1" t="inlineStr">
        <is>
          <t>Unavailability</t>
        </is>
      </c>
      <c r="G1" s="1" t="inlineStr">
        <is>
          <t>Redundancy</t>
        </is>
      </c>
      <c r="H1" s="1" t="inlineStr">
        <is>
          <t>Notes</t>
        </is>
      </c>
    </row>
    <row r="2">
      <c r="A2" s="1" t="inlineStr">
        <is>
          <t>System</t>
        </is>
      </c>
      <c r="E2">
        <f>PRODUCT(E3,E9,E12)</f>
        <v/>
      </c>
      <c r="F2">
        <f>1-E2</f>
        <v/>
      </c>
      <c r="G2" t="inlineStr">
        <is>
          <t>series</t>
        </is>
      </c>
      <c r="H2" t="inlineStr">
        <is>
          <t>series: PRODUCT over the three subsystems</t>
        </is>
      </c>
    </row>
    <row r="3" outlineLevel="1">
      <c r="A3" s="1" t="inlineStr">
        <is>
          <t xml:space="preserve">  Compute subsystem</t>
        </is>
      </c>
      <c r="E3">
        <f>E4*E8</f>
        <v/>
      </c>
      <c r="F3">
        <f>1-E3</f>
        <v/>
      </c>
      <c r="G3" t="inlineStr">
        <is>
          <t>series</t>
        </is>
      </c>
      <c r="H3" t="inlineStr">
        <is>
          <t>series: chained multiplication</t>
        </is>
      </c>
    </row>
    <row r="4" outlineLevel="2">
      <c r="A4" s="1" t="inlineStr">
        <is>
          <t xml:space="preserve">    Compute rack</t>
        </is>
      </c>
      <c r="E4">
        <f>PRODUCT(E5:E7)</f>
        <v/>
      </c>
      <c r="F4">
        <f>1-E4</f>
        <v/>
      </c>
      <c r="G4" t="inlineStr">
        <is>
          <t>series</t>
        </is>
      </c>
      <c r="H4" t="inlineStr">
        <is>
          <t>series: PRODUCT over a range</t>
        </is>
      </c>
    </row>
    <row r="5" outlineLevel="3">
      <c r="A5" t="inlineStr">
        <is>
          <t xml:space="preserve">      GPU node</t>
        </is>
      </c>
      <c r="B5" t="n">
        <v>8</v>
      </c>
      <c r="C5" t="n">
        <v>50000</v>
      </c>
      <c r="D5" t="n">
        <v>6</v>
      </c>
      <c r="E5">
        <f>(C5/(C5+D5))^B5</f>
        <v/>
      </c>
      <c r="F5">
        <f>1-E5</f>
        <v/>
      </c>
      <c r="G5" t="inlineStr">
        <is>
          <t>none</t>
        </is>
      </c>
    </row>
    <row r="6" outlineLevel="3">
      <c r="A6" t="inlineStr">
        <is>
          <t xml:space="preserve">      Rack ToR switch</t>
        </is>
      </c>
      <c r="B6" t="n">
        <v>2</v>
      </c>
      <c r="C6" t="n">
        <v>200000</v>
      </c>
      <c r="D6" t="n">
        <v>4</v>
      </c>
      <c r="E6">
        <f>(C6/(C6+D6))^B6</f>
        <v/>
      </c>
      <c r="F6">
        <f>1-E6</f>
        <v/>
      </c>
      <c r="G6" t="inlineStr">
        <is>
          <t>none</t>
        </is>
      </c>
    </row>
    <row r="7" outlineLevel="3">
      <c r="A7" t="inlineStr">
        <is>
          <t xml:space="preserve">      Rack PDU</t>
        </is>
      </c>
      <c r="B7" t="n">
        <v>1</v>
      </c>
      <c r="C7" t="n">
        <v>400000</v>
      </c>
      <c r="D7" t="n">
        <v>8</v>
      </c>
      <c r="E7">
        <f>(C7/(C7+D7))^B7</f>
        <v/>
      </c>
      <c r="F7">
        <f>1-E7</f>
        <v/>
      </c>
      <c r="G7" t="inlineStr">
        <is>
          <t>none</t>
        </is>
      </c>
    </row>
    <row r="8" outlineLevel="2">
      <c r="A8" t="inlineStr">
        <is>
          <t xml:space="preserve">    Management node</t>
        </is>
      </c>
      <c r="B8" t="n">
        <v>1</v>
      </c>
      <c r="C8" t="n">
        <v>100000</v>
      </c>
      <c r="D8" t="n">
        <v>8</v>
      </c>
      <c r="E8">
        <f>(C8/(C8+D8))^B8</f>
        <v/>
      </c>
      <c r="F8">
        <f>1-E8</f>
        <v/>
      </c>
      <c r="G8" t="inlineStr">
        <is>
          <t>none</t>
        </is>
      </c>
    </row>
    <row r="9" outlineLevel="1">
      <c r="A9" s="1" t="inlineStr">
        <is>
          <t xml:space="preserve">  Network subsystem</t>
        </is>
      </c>
      <c r="E9">
        <f>1-(1-E10)*(1-E11)</f>
        <v/>
      </c>
      <c r="F9">
        <f>1-E9</f>
        <v/>
      </c>
      <c r="G9" t="inlineStr">
        <is>
          <t>1+1 (dual plane)</t>
        </is>
      </c>
      <c r="H9" t="inlineStr">
        <is>
          <t>parallel: 1-(1-A)(1-B)</t>
        </is>
      </c>
    </row>
    <row r="10" outlineLevel="2">
      <c r="A10" t="inlineStr">
        <is>
          <t xml:space="preserve">    Network plane A</t>
        </is>
      </c>
      <c r="B10" t="n">
        <v>1</v>
      </c>
      <c r="C10" t="n">
        <v>150000</v>
      </c>
      <c r="D10" t="n">
        <v>4</v>
      </c>
      <c r="E10">
        <f>C10/(C10+D10)</f>
        <v/>
      </c>
      <c r="F10">
        <f>1-E10</f>
        <v/>
      </c>
      <c r="G10" t="inlineStr">
        <is>
          <t>none</t>
        </is>
      </c>
    </row>
    <row r="11" outlineLevel="2">
      <c r="A11" t="inlineStr">
        <is>
          <t xml:space="preserve">    Network plane B</t>
        </is>
      </c>
      <c r="B11" t="n">
        <v>1</v>
      </c>
      <c r="C11" t="n">
        <v>150000</v>
      </c>
      <c r="D11" t="n">
        <v>4</v>
      </c>
      <c r="E11">
        <f>C11/(C11+D11)</f>
        <v/>
      </c>
      <c r="F11">
        <f>1-E11</f>
        <v/>
      </c>
      <c r="G11" t="inlineStr">
        <is>
          <t>none</t>
        </is>
      </c>
    </row>
    <row r="12" outlineLevel="1">
      <c r="A12" s="1" t="inlineStr">
        <is>
          <t xml:space="preserve">  Power subsystem</t>
        </is>
      </c>
      <c r="E12">
        <f>1-PRODUCT(F13:F14)</f>
        <v/>
      </c>
      <c r="F12">
        <f>1-E12</f>
        <v/>
      </c>
      <c r="G12" t="inlineStr">
        <is>
          <t>2N</t>
        </is>
      </c>
      <c r="H12" t="inlineStr">
        <is>
          <t>parallel: 1-PRODUCT(unavailabilities)</t>
        </is>
      </c>
    </row>
    <row r="13" outlineLevel="2">
      <c r="A13" t="inlineStr">
        <is>
          <t xml:space="preserve">    Power path A (utility + UPS)</t>
        </is>
      </c>
      <c r="B13" t="n">
        <v>1</v>
      </c>
      <c r="C13" t="n">
        <v>80000</v>
      </c>
      <c r="D13" t="n">
        <v>12</v>
      </c>
      <c r="E13">
        <f>C13/(C13+D13)</f>
        <v/>
      </c>
      <c r="F13">
        <f>1-E13</f>
        <v/>
      </c>
      <c r="G13" t="inlineStr">
        <is>
          <t>none</t>
        </is>
      </c>
    </row>
    <row r="14" outlineLevel="2">
      <c r="A14" t="inlineStr">
        <is>
          <t xml:space="preserve">    Power path B (utility + UPS)</t>
        </is>
      </c>
      <c r="B14" t="n">
        <v>1</v>
      </c>
      <c r="C14" t="n">
        <v>80000</v>
      </c>
      <c r="D14" t="n">
        <v>12</v>
      </c>
      <c r="E14">
        <f>C14/(C14+D14)</f>
        <v/>
      </c>
      <c r="F14">
        <f>1-E14</f>
        <v/>
      </c>
      <c r="G1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HAC-D make_fixtures.py</dc:creator>
  <dcterms:created xsi:type="dcterms:W3CDTF">2026-10-09T00:00:00Z</dcterms:created>
  <dcterms:modified xsi:type="dcterms:W3CDTF">2026-10-09T00:00:00Z</dcterms:modified>
</cp:coreProperties>
</file>
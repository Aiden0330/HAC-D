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单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1" customWidth="1" min="3" max="3"/>
    <col width="12" customWidth="1" min="4" max="4"/>
    <col width="9" customWidth="1" min="5" max="5"/>
    <col width="12" customWidth="1" min="6" max="6"/>
    <col width="16" customWidth="1" min="7" max="7"/>
    <col width="48" customWidth="1" min="8" max="8"/>
  </cols>
  <sheetData>
    <row r="1">
      <c r="A1" s="1" t="inlineStr">
        <is>
          <t>部件</t>
        </is>
      </c>
      <c r="B1" s="1" t="inlineStr">
        <is>
          <t>数量</t>
        </is>
      </c>
      <c r="C1" s="1" t="inlineStr">
        <is>
          <t>AFR (%/年)</t>
        </is>
      </c>
      <c r="D1" s="1" t="inlineStr">
        <is>
          <t>MTBF (h)</t>
        </is>
      </c>
      <c r="E1" s="1" t="inlineStr">
        <is>
          <t>MTTR (h)</t>
        </is>
      </c>
      <c r="F1" s="1" t="inlineStr">
        <is>
          <t>可用度(%)</t>
        </is>
      </c>
      <c r="G1" s="1" t="inlineStr">
        <is>
          <t>可用度 (小数)</t>
        </is>
      </c>
      <c r="H1" s="1" t="inlineStr">
        <is>
          <t>备注</t>
        </is>
      </c>
    </row>
    <row r="2">
      <c r="A2" t="inlineStr">
        <is>
          <t>GPU 服务器</t>
        </is>
      </c>
      <c r="B2" t="n">
        <v>64</v>
      </c>
      <c r="C2" t="n">
        <v>12</v>
      </c>
      <c r="D2">
        <f>8760/(C2/100)</f>
        <v/>
      </c>
      <c r="E2" t="n">
        <v>8</v>
      </c>
      <c r="F2" s="2">
        <f>G2*100</f>
        <v/>
      </c>
      <c r="G2">
        <f>(D2/(D2+E2))^B2</f>
        <v/>
      </c>
      <c r="H2" t="inlineStr">
        <is>
          <t>AFR 换算 MTBF = 8760/(AFR/100)；可用度按数量连乘</t>
        </is>
      </c>
    </row>
    <row r="3">
      <c r="A3" t="inlineStr">
        <is>
          <t>存储服务 (SLA)</t>
        </is>
      </c>
      <c r="B3" t="n">
        <v>1</v>
      </c>
      <c r="F3" s="3" t="n">
        <v>99.95</v>
      </c>
      <c r="G3">
        <f>F3/100</f>
        <v/>
      </c>
      <c r="H3" t="inlineStr">
        <is>
          <t>可用度以百分数录入（数值单元格 99.95），使用前 /100</t>
        </is>
      </c>
    </row>
    <row r="4">
      <c r="A4" t="inlineStr">
        <is>
          <t>网络服务 (SLA)</t>
        </is>
      </c>
      <c r="B4" t="n">
        <v>1</v>
      </c>
      <c r="F4" s="3" t="n">
        <v>99.90000000000001</v>
      </c>
      <c r="G4">
        <f>F4/100</f>
        <v/>
      </c>
      <c r="H4" t="inlineStr">
        <is>
          <t>同上</t>
        </is>
      </c>
    </row>
    <row r="5">
      <c r="A5" t="inlineStr">
        <is>
          <t>机房供电 (SLA)</t>
        </is>
      </c>
      <c r="B5" t="n">
        <v>1</v>
      </c>
      <c r="F5" s="4" t="n">
        <v>0.9999</v>
      </c>
      <c r="G5">
        <f>F5</f>
        <v/>
      </c>
      <c r="H5" t="inlineStr">
        <is>
          <t>单元格为百分比格式（显示 99.99%），存储值已是小数，不再 /100</t>
        </is>
      </c>
    </row>
    <row r="6">
      <c r="A6" t="inlineStr">
        <is>
          <t>参数面交换机</t>
        </is>
      </c>
      <c r="B6" t="n">
        <v>2</v>
      </c>
      <c r="C6" t="n">
        <v>3</v>
      </c>
      <c r="D6">
        <f>8760/(C6/100)</f>
        <v/>
      </c>
      <c r="E6" t="n">
        <v>4</v>
      </c>
      <c r="F6" s="2">
        <f>G6*100</f>
        <v/>
      </c>
      <c r="G6">
        <f>(D6/(D6+E6))^B6</f>
        <v/>
      </c>
      <c r="H6" t="inlineStr">
        <is>
          <t>AFR 换算 MTBF</t>
        </is>
      </c>
    </row>
    <row r="7">
      <c r="A7" s="1" t="inlineStr">
        <is>
          <t>系统可用度</t>
        </is>
      </c>
      <c r="F7" s="2">
        <f>G7*100</f>
        <v/>
      </c>
      <c r="G7">
        <f>PRODUCT(G2:G6)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HAC-D make_fixtures.py</dc:creator>
  <dcterms:created xsi:type="dcterms:W3CDTF">2026-10-09T00:00:00Z</dcterms:created>
  <dcterms:modified xsi:type="dcterms:W3CDTF">2026-10-09T00:00:00Z</dcterms:modified>
</cp:coreProperties>
</file>
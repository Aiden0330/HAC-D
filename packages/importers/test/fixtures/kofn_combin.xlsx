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6" customWidth="1" min="5" max="5"/>
    <col width="14" customWidth="1" min="6" max="6"/>
    <col width="30" customWidth="1" min="7" max="7"/>
    <col width="28" customWidth="1" min="8" max="8"/>
    <col width="30" customWidth="1" min="9" max="9"/>
  </cols>
  <sheetData>
    <row r="1">
      <c r="A1" s="1" t="inlineStr">
        <is>
          <t>Component</t>
        </is>
      </c>
      <c r="B1" s="1" t="inlineStr">
        <is>
          <t>Qty (n)</t>
        </is>
      </c>
      <c r="C1" s="1" t="inlineStr">
        <is>
          <t>MTBF (h)</t>
        </is>
      </c>
      <c r="D1" s="1" t="inlineStr">
        <is>
          <t>MTTR (h)</t>
        </is>
      </c>
      <c r="E1" s="1" t="inlineStr">
        <is>
          <t>Unit availability</t>
        </is>
      </c>
      <c r="F1" s="1" t="inlineStr">
        <is>
          <t>Redundancy (k/n)</t>
        </is>
      </c>
      <c r="G1" s="1" t="inlineStr">
        <is>
          <t>Group availability (explicit sum)</t>
        </is>
      </c>
      <c r="H1" s="1" t="inlineStr">
        <is>
          <t>Group availability (COMBIN)</t>
        </is>
      </c>
      <c r="I1" s="1" t="inlineStr">
        <is>
          <t>Group availability (BINOM.DIST)</t>
        </is>
      </c>
    </row>
    <row r="2">
      <c r="A2" t="inlineStr">
        <is>
          <t>Power shelf PSU</t>
        </is>
      </c>
      <c r="B2" t="n">
        <v>3</v>
      </c>
      <c r="C2" t="n">
        <v>20000</v>
      </c>
      <c r="D2" t="n">
        <v>48</v>
      </c>
      <c r="E2">
        <f>C2/(C2+D2)</f>
        <v/>
      </c>
      <c r="F2" t="inlineStr">
        <is>
          <t>2/3</t>
        </is>
      </c>
      <c r="G2">
        <f>E2^3+3*E2^2*(1-E2)</f>
        <v/>
      </c>
      <c r="H2">
        <f>COMBIN(3,3)*E2^3*(1-E2)^0+COMBIN(3,2)*E2^2*(1-E2)^1</f>
        <v/>
      </c>
      <c r="I2">
        <f>1-_xlfn.BINOM.DIST(1,3,E2,TRUE)</f>
        <v/>
      </c>
    </row>
    <row r="3">
      <c r="A3" t="inlineStr">
        <is>
          <t>CDU pump</t>
        </is>
      </c>
      <c r="B3" t="n">
        <v>4</v>
      </c>
      <c r="C3" t="n">
        <v>30000</v>
      </c>
      <c r="D3" t="n">
        <v>72</v>
      </c>
      <c r="E3">
        <f>C3/(C3+D3)</f>
        <v/>
      </c>
      <c r="F3" t="inlineStr">
        <is>
          <t>3/4</t>
        </is>
      </c>
      <c r="G3">
        <f>E3^4+4*E3^3*(1-E3)</f>
        <v/>
      </c>
      <c r="H3">
        <f>COMBIN(4,4)*E3^4*(1-E3)^0+COMBIN(4,3)*E3^3*(1-E3)^1</f>
        <v/>
      </c>
      <c r="I3">
        <f>1-_xlfn.BINOM.DIST(2,4,E3,TRUE)</f>
        <v/>
      </c>
    </row>
    <row r="4">
      <c r="A4" t="inlineStr">
        <is>
          <t>Management switch</t>
        </is>
      </c>
      <c r="B4" t="n">
        <v>1</v>
      </c>
      <c r="C4" t="n">
        <v>200000</v>
      </c>
      <c r="D4" t="n">
        <v>4</v>
      </c>
      <c r="E4">
        <f>C4/(C4+D4)</f>
        <v/>
      </c>
      <c r="F4" t="inlineStr">
        <is>
          <t>1/1</t>
        </is>
      </c>
      <c r="G4">
        <f>E4</f>
        <v/>
      </c>
      <c r="H4">
        <f>E4</f>
        <v/>
      </c>
      <c r="I4">
        <f>E4</f>
        <v/>
      </c>
    </row>
    <row r="5">
      <c r="A5" s="1" t="inlineStr">
        <is>
          <t>System (series)</t>
        </is>
      </c>
      <c r="G5">
        <f>PRODUCT(G2:G4)</f>
        <v/>
      </c>
      <c r="H5">
        <f>PRODUCT(H2:H4)</f>
        <v/>
      </c>
      <c r="I5">
        <f>PRODUCT(I2:I4)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
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Component</t>
        </is>
      </c>
      <c r="B1" s="1" t="inlineStr">
        <is>
          <t>Qty</t>
        </is>
      </c>
      <c r="C1" s="1" t="inlineStr">
        <is>
          <t>MTBF (h)</t>
        </is>
      </c>
      <c r="D1" s="1" t="inlineStr">
        <is>
          <t>MTTR (h)</t>
        </is>
      </c>
      <c r="E1" s="1" t="inlineStr">
        <is>
          <t>Availability</t>
        </is>
      </c>
      <c r="F1" s="1" t="inlineStr">
        <is>
          <t>Unavailability</t>
        </is>
      </c>
    </row>
    <row r="2">
      <c r="A2" t="inlineStr">
        <is>
          <t>GPU node</t>
        </is>
      </c>
      <c r="B2" t="n">
        <v>8</v>
      </c>
      <c r="C2" t="n">
        <v>50000</v>
      </c>
      <c r="D2" t="n">
        <v>6</v>
      </c>
      <c r="E2">
        <f>(C2/(C2+D2))^B2</f>
        <v/>
      </c>
      <c r="F2">
        <f>1-E2</f>
        <v/>
      </c>
    </row>
    <row r="3">
      <c r="A3" t="inlineStr">
        <is>
          <t>Leaf switch</t>
        </is>
      </c>
      <c r="B3" t="n">
        <v>4</v>
      </c>
      <c r="C3" t="n">
        <v>200000</v>
      </c>
      <c r="D3" t="n">
        <v>4</v>
      </c>
      <c r="E3">
        <f>(C3/(C3+D3))^B3</f>
        <v/>
      </c>
      <c r="F3">
        <f>1-E3</f>
        <v/>
      </c>
    </row>
    <row r="4">
      <c r="A4" t="inlineStr">
        <is>
          <t>Spine switch</t>
        </is>
      </c>
      <c r="B4" t="n">
        <v>2</v>
      </c>
      <c r="C4" t="n">
        <v>300000</v>
      </c>
      <c r="D4" t="n">
        <v>4</v>
      </c>
      <c r="E4">
        <f>(C4/(C4+D4))^B4</f>
        <v/>
      </c>
      <c r="F4">
        <f>1-E4</f>
        <v/>
      </c>
    </row>
    <row r="5">
      <c r="A5" t="inlineStr">
        <is>
          <t>Storage array</t>
        </is>
      </c>
      <c r="B5" t="n">
        <v>1</v>
      </c>
      <c r="C5" t="n">
        <v>100000</v>
      </c>
      <c r="D5" t="n">
        <v>12</v>
      </c>
      <c r="E5">
        <f>(C5/(C5+D5))^B5</f>
        <v/>
      </c>
      <c r="F5">
        <f>1-E5</f>
        <v/>
      </c>
    </row>
    <row r="6">
      <c r="A6" t="inlineStr">
        <is>
          <t>Power feed</t>
        </is>
      </c>
      <c r="B6" t="n">
        <v>1</v>
      </c>
      <c r="C6" t="n">
        <v>500000</v>
      </c>
      <c r="D6" t="n">
        <v>8</v>
      </c>
      <c r="E6">
        <f>(C6/(C6+D6))^B6</f>
        <v/>
      </c>
      <c r="F6">
        <f>1-E6</f>
        <v/>
      </c>
    </row>
    <row r="7">
      <c r="A7" t="inlineStr">
        <is>
          <t>Cooling loop</t>
        </is>
      </c>
      <c r="B7" t="n">
        <v>1</v>
      </c>
      <c r="C7" t="n">
        <v>150000</v>
      </c>
      <c r="D7" t="n">
        <v>24</v>
      </c>
      <c r="E7">
        <f>(C7/(C7+D7))^B7</f>
        <v/>
      </c>
      <c r="F7">
        <f>1-E7</f>
        <v/>
      </c>
    </row>
    <row r="8">
      <c r="A8" s="1" t="inlineStr">
        <is>
          <t>System (series)</t>
        </is>
      </c>
      <c r="E8">
        <f>PRODUCT(E2:E7)</f>
        <v/>
      </c>
      <c r="F8">
        <f>1-E8</f>
        <v/>
      </c>
    </row>
    <row r="9">
      <c r="A9" s="1" t="inlineStr">
        <is>
          <t>System (rare-event approx.)</t>
        </is>
      </c>
      <c r="E9">
        <f>1-SUM(F2:F7)</f>
        <v/>
      </c>
      <c r="F9">
        <f>1-E9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
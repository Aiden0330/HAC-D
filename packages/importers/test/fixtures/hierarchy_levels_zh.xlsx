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拓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6" customWidth="1" min="3" max="3"/>
    <col width="10" customWidth="1" min="4" max="4"/>
    <col width="9" customWidth="1" min="5" max="5"/>
    <col width="16" customWidth="1" min="6" max="6"/>
    <col width="16" customWidth="1" min="7" max="7"/>
    <col width="14" customWidth="1" min="8" max="8"/>
    <col width="34" customWidth="1" min="9" max="9"/>
  </cols>
  <sheetData>
    <row r="1">
      <c r="A1" s="1" t="inlineStr">
        <is>
          <t>AI 集群可用度模型 — 层级列示例（合成数据，非实测）</t>
        </is>
      </c>
    </row>
    <row r="2">
      <c r="A2" s="2" t="inlineStr">
        <is>
          <t>层级</t>
        </is>
      </c>
      <c r="B2" s="2" t="inlineStr">
        <is>
          <t>名称</t>
        </is>
      </c>
      <c r="C2" s="2" t="inlineStr">
        <is>
          <t>数量</t>
        </is>
      </c>
      <c r="D2" s="2" t="inlineStr">
        <is>
          <t>MTBF(h)</t>
        </is>
      </c>
      <c r="E2" s="2" t="inlineStr">
        <is>
          <t>MTTR(h)</t>
        </is>
      </c>
      <c r="F2" s="2" t="inlineStr">
        <is>
          <t>可用度</t>
        </is>
      </c>
      <c r="G2" s="2" t="inlineStr">
        <is>
          <t>不可用度</t>
        </is>
      </c>
      <c r="H2" s="2" t="inlineStr">
        <is>
          <t>冗余方式</t>
        </is>
      </c>
      <c r="I2" s="2" t="inlineStr">
        <is>
          <t>备注</t>
        </is>
      </c>
    </row>
    <row r="3">
      <c r="A3" t="n">
        <v>0</v>
      </c>
      <c r="B3" s="2" t="inlineStr">
        <is>
          <t>系统</t>
        </is>
      </c>
      <c r="F3">
        <f>PRODUCT(F4,F10,F13)</f>
        <v/>
      </c>
      <c r="G3">
        <f>1-F3</f>
        <v/>
      </c>
      <c r="H3" t="inlineStr">
        <is>
          <t>串联</t>
        </is>
      </c>
      <c r="I3" t="inlineStr">
        <is>
          <t>串联：PRODUCT 引用三个子系统</t>
        </is>
      </c>
    </row>
    <row r="4">
      <c r="A4" t="n">
        <v>1</v>
      </c>
      <c r="B4" s="2" t="inlineStr">
        <is>
          <t>计算子系统</t>
        </is>
      </c>
      <c r="F4">
        <f>F5*F9</f>
        <v/>
      </c>
      <c r="G4">
        <f>1-F4</f>
        <v/>
      </c>
      <c r="H4" t="inlineStr">
        <is>
          <t>串联</t>
        </is>
      </c>
      <c r="I4" t="inlineStr">
        <is>
          <t>串联：连乘</t>
        </is>
      </c>
    </row>
    <row r="5">
      <c r="A5" t="inlineStr">
        <is>
          <t>1.1</t>
        </is>
      </c>
      <c r="B5" s="2" t="inlineStr">
        <is>
          <t>计算机柜</t>
        </is>
      </c>
      <c r="F5">
        <f>PRODUCT(F6:F8)</f>
        <v/>
      </c>
      <c r="G5">
        <f>1-F5</f>
        <v/>
      </c>
      <c r="H5" t="inlineStr">
        <is>
          <t>串联</t>
        </is>
      </c>
      <c r="I5" t="inlineStr">
        <is>
          <t>串联：PRODUCT 连续区间</t>
        </is>
      </c>
    </row>
    <row r="6">
      <c r="A6" t="inlineStr">
        <is>
          <t>1.1.1</t>
        </is>
      </c>
      <c r="B6" t="inlineStr">
        <is>
          <t>GPU 节点</t>
        </is>
      </c>
      <c r="C6" t="n">
        <v>8</v>
      </c>
      <c r="D6" t="n">
        <v>50000</v>
      </c>
      <c r="E6" t="n">
        <v>6</v>
      </c>
      <c r="F6">
        <f>(D6/(D6+E6))^C6</f>
        <v/>
      </c>
      <c r="G6">
        <f>1-F6</f>
        <v/>
      </c>
      <c r="H6" t="inlineStr">
        <is>
          <t>无</t>
        </is>
      </c>
    </row>
    <row r="7">
      <c r="A7" t="inlineStr">
        <is>
          <t>1.1.2</t>
        </is>
      </c>
      <c r="B7" t="inlineStr">
        <is>
          <t>机柜 ToR 交换机</t>
        </is>
      </c>
      <c r="C7" t="n">
        <v>2</v>
      </c>
      <c r="D7" t="n">
        <v>200000</v>
      </c>
      <c r="E7" t="n">
        <v>4</v>
      </c>
      <c r="F7">
        <f>(D7/(D7+E7))^C7</f>
        <v/>
      </c>
      <c r="G7">
        <f>1-F7</f>
        <v/>
      </c>
      <c r="H7" t="inlineStr">
        <is>
          <t>无</t>
        </is>
      </c>
    </row>
    <row r="8">
      <c r="A8" t="inlineStr">
        <is>
          <t>1.1.3</t>
        </is>
      </c>
      <c r="B8" t="inlineStr">
        <is>
          <t>机柜 PDU</t>
        </is>
      </c>
      <c r="C8" t="n">
        <v>1</v>
      </c>
      <c r="D8" t="n">
        <v>400000</v>
      </c>
      <c r="E8" t="n">
        <v>8</v>
      </c>
      <c r="F8">
        <f>(D8/(D8+E8))^C8</f>
        <v/>
      </c>
      <c r="G8">
        <f>1-F8</f>
        <v/>
      </c>
      <c r="H8" t="inlineStr">
        <is>
          <t>无</t>
        </is>
      </c>
    </row>
    <row r="9">
      <c r="A9" t="inlineStr">
        <is>
          <t>1.2</t>
        </is>
      </c>
      <c r="B9" t="inlineStr">
        <is>
          <t>管理节点</t>
        </is>
      </c>
      <c r="C9" t="n">
        <v>1</v>
      </c>
      <c r="D9" t="n">
        <v>100000</v>
      </c>
      <c r="E9" t="n">
        <v>8</v>
      </c>
      <c r="F9">
        <f>(D9/(D9+E9))^C9</f>
        <v/>
      </c>
      <c r="G9">
        <f>1-F9</f>
        <v/>
      </c>
      <c r="H9" t="inlineStr">
        <is>
          <t>无</t>
        </is>
      </c>
    </row>
    <row r="10">
      <c r="A10" t="n">
        <v>2</v>
      </c>
      <c r="B10" s="2" t="inlineStr">
        <is>
          <t>网络子系统</t>
        </is>
      </c>
      <c r="F10">
        <f>1-(1-F11)*(1-F12)</f>
        <v/>
      </c>
      <c r="G10">
        <f>1-F10</f>
        <v/>
      </c>
      <c r="H10" t="inlineStr">
        <is>
          <t>1+1 (双平面)</t>
        </is>
      </c>
      <c r="I10" t="inlineStr">
        <is>
          <t>并联：1-(1-A)(1-B)</t>
        </is>
      </c>
    </row>
    <row r="11">
      <c r="A11" t="inlineStr">
        <is>
          <t>2.1</t>
        </is>
      </c>
      <c r="B11" t="inlineStr">
        <is>
          <t>网络平面 A</t>
        </is>
      </c>
      <c r="C11" t="n">
        <v>1</v>
      </c>
      <c r="D11" t="n">
        <v>150000</v>
      </c>
      <c r="E11" t="n">
        <v>4</v>
      </c>
      <c r="F11">
        <f>D11/(D11+E11)</f>
        <v/>
      </c>
      <c r="G11">
        <f>1-F11</f>
        <v/>
      </c>
      <c r="H11" t="inlineStr">
        <is>
          <t>无</t>
        </is>
      </c>
    </row>
    <row r="12">
      <c r="A12" t="inlineStr">
        <is>
          <t>2.2</t>
        </is>
      </c>
      <c r="B12" t="inlineStr">
        <is>
          <t>网络平面 B</t>
        </is>
      </c>
      <c r="C12" t="n">
        <v>1</v>
      </c>
      <c r="D12" t="n">
        <v>150000</v>
      </c>
      <c r="E12" t="n">
        <v>4</v>
      </c>
      <c r="F12">
        <f>D12/(D12+E12)</f>
        <v/>
      </c>
      <c r="G12">
        <f>1-F12</f>
        <v/>
      </c>
      <c r="H12" t="inlineStr">
        <is>
          <t>无</t>
        </is>
      </c>
    </row>
    <row r="13">
      <c r="A13" t="n">
        <v>3</v>
      </c>
      <c r="B13" s="2" t="inlineStr">
        <is>
          <t>供电子系统</t>
        </is>
      </c>
      <c r="F13">
        <f>1-PRODUCT(G14:G15)</f>
        <v/>
      </c>
      <c r="G13">
        <f>1-F13</f>
        <v/>
      </c>
      <c r="H13" t="inlineStr">
        <is>
          <t>2N</t>
        </is>
      </c>
      <c r="I13" t="inlineStr">
        <is>
          <t>并联：1-PRODUCT(不可用度)</t>
        </is>
      </c>
    </row>
    <row r="14">
      <c r="A14" t="inlineStr">
        <is>
          <t>3.1</t>
        </is>
      </c>
      <c r="B14" t="inlineStr">
        <is>
          <t>A 路供电 (市电+UPS)</t>
        </is>
      </c>
      <c r="C14" t="n">
        <v>1</v>
      </c>
      <c r="D14" t="n">
        <v>80000</v>
      </c>
      <c r="E14" t="n">
        <v>12</v>
      </c>
      <c r="F14">
        <f>D14/(D14+E14)</f>
        <v/>
      </c>
      <c r="G14">
        <f>1-F14</f>
        <v/>
      </c>
      <c r="H14" t="inlineStr">
        <is>
          <t>无</t>
        </is>
      </c>
    </row>
    <row r="15">
      <c r="A15" t="inlineStr">
        <is>
          <t>3.2</t>
        </is>
      </c>
      <c r="B15" t="inlineStr">
        <is>
          <t>B 路供电 (市电+UPS)</t>
        </is>
      </c>
      <c r="C15" t="n">
        <v>1</v>
      </c>
      <c r="D15" t="n">
        <v>80000</v>
      </c>
      <c r="E15" t="n">
        <v>12</v>
      </c>
      <c r="F15">
        <f>D15/(D15+E15)</f>
        <v/>
      </c>
      <c r="G15">
        <f>1-F15</f>
        <v/>
      </c>
      <c r="H15" t="inlineStr">
        <is>
          <t>无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HAC-D make_fixtures.py</dc:creator>
  <dcterms:created xsi:type="dcterms:W3CDTF">2026-10-09T00:00:00Z</dcterms:created>
  <dcterms:modified xsi:type="dcterms:W3CDTF">2026-10-09T00:00:00Z</dcterms:modified>
</cp:coreProperties>
</file>